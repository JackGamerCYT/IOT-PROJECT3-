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out" sheetId="1" state="visible" r:id="rId1"/>
    <sheet xmlns:r="http://schemas.openxmlformats.org/officeDocument/2006/relationships" name="Mach dong luc" sheetId="2" state="visible" r:id="rId2"/>
    <sheet xmlns:r="http://schemas.openxmlformats.org/officeDocument/2006/relationships" name="Linh ki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30" customWidth="1" min="4" max="4"/>
    <col width="14" customWidth="1" min="5" max="5"/>
    <col width="40" customWidth="1" min="6" max="6"/>
  </cols>
  <sheetData>
    <row r="1">
      <c r="A1" s="1" t="inlineStr">
        <is>
          <t>STT</t>
        </is>
      </c>
      <c r="B1" s="1" t="inlineStr">
        <is>
          <t>Linh kiện</t>
        </is>
      </c>
      <c r="C1" s="1" t="inlineStr">
        <is>
          <t>Chân linh kiện</t>
        </is>
      </c>
      <c r="D1" s="1" t="inlineStr">
        <is>
          <t>Chân ESP32-S3 / mạch</t>
        </is>
      </c>
      <c r="E1" s="1" t="inlineStr">
        <is>
          <t>Loại tín hiệu</t>
        </is>
      </c>
      <c r="F1" s="1" t="inlineStr">
        <is>
          <t>Chức năng</t>
        </is>
      </c>
    </row>
    <row r="2">
      <c r="A2" s="2" t="n">
        <v>1</v>
      </c>
      <c r="B2" s="2" t="inlineStr">
        <is>
          <t>ACS712-05B</t>
        </is>
      </c>
      <c r="C2" s="2" t="inlineStr">
        <is>
          <t>VCC</t>
        </is>
      </c>
      <c r="D2" s="2" t="inlineStr">
        <is>
          <t>5V (sau LM2596)</t>
        </is>
      </c>
      <c r="E2" s="2" t="inlineStr">
        <is>
          <t>Nguồn DC</t>
        </is>
      </c>
      <c r="F2" s="2" t="inlineStr">
        <is>
          <t>Nguồn nuôi cảm biến cách ly</t>
        </is>
      </c>
    </row>
    <row r="3">
      <c r="A3" s="2" t="n">
        <v>2</v>
      </c>
      <c r="B3" s="2" t="inlineStr">
        <is>
          <t>ACS712-05B</t>
        </is>
      </c>
      <c r="C3" s="2" t="inlineStr">
        <is>
          <t>GND</t>
        </is>
      </c>
      <c r="D3" s="2" t="inlineStr">
        <is>
          <t>GND chung</t>
        </is>
      </c>
      <c r="E3" s="2" t="inlineStr">
        <is>
          <t>Mass</t>
        </is>
      </c>
      <c r="F3" s="2" t="inlineStr"/>
    </row>
    <row r="4">
      <c r="A4" s="2" t="n">
        <v>3</v>
      </c>
      <c r="B4" s="2" t="inlineStr">
        <is>
          <t>ACS712-05B</t>
        </is>
      </c>
      <c r="C4" s="2" t="inlineStr">
        <is>
          <t>OUT</t>
        </is>
      </c>
      <c r="D4" s="2" t="inlineStr">
        <is>
          <t>GPIO 1 (ADC1_CH0) qua phân áp 10k/20k</t>
        </is>
      </c>
      <c r="E4" s="2" t="inlineStr">
        <is>
          <t>Analog in</t>
        </is>
      </c>
      <c r="F4" s="2" t="inlineStr">
        <is>
          <t>Đo dòng tải DC, 185 mV/A</t>
        </is>
      </c>
    </row>
    <row r="5">
      <c r="A5" s="2" t="n">
        <v>4</v>
      </c>
      <c r="B5" s="2" t="inlineStr">
        <is>
          <t>Relay 2CH 5V</t>
        </is>
      </c>
      <c r="C5" s="2" t="inlineStr">
        <is>
          <t>VCC / JD-VCC</t>
        </is>
      </c>
      <c r="D5" s="2" t="inlineStr">
        <is>
          <t>3.3V / 5V</t>
        </is>
      </c>
      <c r="E5" s="2" t="inlineStr">
        <is>
          <t>Nguồn</t>
        </is>
      </c>
      <c r="F5" s="2" t="inlineStr">
        <is>
          <t>Tháo jumper để 3.3V tắt hẳn opto</t>
        </is>
      </c>
    </row>
    <row r="6">
      <c r="A6" s="2" t="n">
        <v>5</v>
      </c>
      <c r="B6" s="2" t="inlineStr">
        <is>
          <t>Relay 2CH 5V</t>
        </is>
      </c>
      <c r="C6" s="2" t="inlineStr">
        <is>
          <t>IN1</t>
        </is>
      </c>
      <c r="D6" s="2" t="inlineStr">
        <is>
          <t>GPIO 12</t>
        </is>
      </c>
      <c r="E6" s="2" t="inlineStr">
        <is>
          <t>Digital out</t>
        </is>
      </c>
      <c r="F6" s="2" t="inlineStr">
        <is>
          <t>Tải 1 – Quạt 12V (ưu tiên cao)</t>
        </is>
      </c>
    </row>
    <row r="7">
      <c r="A7" s="2" t="n">
        <v>6</v>
      </c>
      <c r="B7" s="2" t="inlineStr">
        <is>
          <t>Relay 2CH 5V</t>
        </is>
      </c>
      <c r="C7" s="2" t="inlineStr">
        <is>
          <t>IN2</t>
        </is>
      </c>
      <c r="D7" s="2" t="inlineStr">
        <is>
          <t>GPIO 13</t>
        </is>
      </c>
      <c r="E7" s="2" t="inlineStr">
        <is>
          <t>Digital out</t>
        </is>
      </c>
      <c r="F7" s="2" t="inlineStr">
        <is>
          <t>Tải 2 – LED 12V (ưu tiên thấp)</t>
        </is>
      </c>
    </row>
    <row r="8">
      <c r="A8" s="2" t="n">
        <v>7</v>
      </c>
      <c r="B8" s="2" t="inlineStr">
        <is>
          <t>DS3231 (0x68)</t>
        </is>
      </c>
      <c r="C8" s="2" t="inlineStr">
        <is>
          <t>VCC/GND/SDA/SCL</t>
        </is>
      </c>
      <c r="D8" s="2" t="inlineStr">
        <is>
          <t>3V3/GND/GPIO 8/GPIO 9</t>
        </is>
      </c>
      <c r="E8" s="2" t="inlineStr">
        <is>
          <t>I2C</t>
        </is>
      </c>
      <c r="F8" s="2" t="inlineStr">
        <is>
          <t>Giữ giờ khi mất WiFi</t>
        </is>
      </c>
    </row>
    <row r="9">
      <c r="A9" s="2" t="n">
        <v>8</v>
      </c>
      <c r="B9" s="2" t="inlineStr">
        <is>
          <t>SSD1306 (0x3C)</t>
        </is>
      </c>
      <c r="C9" s="2" t="inlineStr">
        <is>
          <t>VCC/GND/SDA/SCL</t>
        </is>
      </c>
      <c r="D9" s="2" t="inlineStr">
        <is>
          <t>3V3/GND/GPIO 8/GPIO 9</t>
        </is>
      </c>
      <c r="E9" s="2" t="inlineStr">
        <is>
          <t>I2C</t>
        </is>
      </c>
      <c r="F9" s="2" t="inlineStr">
        <is>
          <t>Hiển thị tại chỗ</t>
        </is>
      </c>
    </row>
    <row r="10">
      <c r="A10" s="2" t="n">
        <v>9</v>
      </c>
      <c r="B10" s="2" t="inlineStr">
        <is>
          <t>Buzzer 5V + S8050</t>
        </is>
      </c>
      <c r="C10" s="2" t="inlineStr">
        <is>
          <t>Base qua R 1k</t>
        </is>
      </c>
      <c r="D10" s="2" t="inlineStr">
        <is>
          <t>GPIO 14</t>
        </is>
      </c>
      <c r="E10" s="2" t="inlineStr">
        <is>
          <t>Digital out</t>
        </is>
      </c>
      <c r="F10" s="2" t="inlineStr">
        <is>
          <t>Báo động vượt ngưỡng</t>
        </is>
      </c>
    </row>
    <row r="11">
      <c r="A11" s="2" t="n">
        <v>10</v>
      </c>
      <c r="B11" s="2" t="inlineStr">
        <is>
          <t>LM2596</t>
        </is>
      </c>
      <c r="C11" s="2" t="inlineStr">
        <is>
          <t>IN+ / IN-</t>
        </is>
      </c>
      <c r="D11" s="2" t="inlineStr">
        <is>
          <t>Domino 12V sau cầu chì</t>
        </is>
      </c>
      <c r="E11" s="2" t="inlineStr">
        <is>
          <t>Power in</t>
        </is>
      </c>
      <c r="F11" s="2" t="inlineStr"/>
    </row>
    <row r="12">
      <c r="A12" s="2" t="n">
        <v>11</v>
      </c>
      <c r="B12" s="2" t="inlineStr">
        <is>
          <t>LM2596</t>
        </is>
      </c>
      <c r="C12" s="2" t="inlineStr">
        <is>
          <t>OUT+ / OUT-</t>
        </is>
      </c>
      <c r="D12" s="2" t="inlineStr">
        <is>
          <t>5V / GND ESP32</t>
        </is>
      </c>
      <c r="E12" s="2" t="inlineStr">
        <is>
          <t>Power out</t>
        </is>
      </c>
      <c r="F12" s="2" t="inlineStr">
        <is>
          <t>Chỉnh 5.00 V trước khi cắm chip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30" customWidth="1" min="4" max="4"/>
    <col width="14" customWidth="1" min="5" max="5"/>
    <col width="24" customWidth="1" min="6" max="6"/>
  </cols>
  <sheetData>
    <row r="1">
      <c r="A1" s="1" t="inlineStr">
        <is>
          <t>Tải / thiết bị</t>
        </is>
      </c>
      <c r="B1" s="1" t="inlineStr">
        <is>
          <t>Nguồn +12V</t>
        </is>
      </c>
      <c r="C1" s="1" t="inlineStr">
        <is>
          <t>Qua relay</t>
        </is>
      </c>
      <c r="D1" s="1" t="inlineStr">
        <is>
          <t>Qua ACS712</t>
        </is>
      </c>
      <c r="E1" s="1" t="inlineStr">
        <is>
          <t>Nguồn -12V</t>
        </is>
      </c>
      <c r="F1" s="1" t="inlineStr">
        <is>
          <t>Khi kích LOW</t>
        </is>
      </c>
    </row>
    <row r="2">
      <c r="A2" s="2" t="inlineStr">
        <is>
          <t>Tải 1: Quạt DC 12V</t>
        </is>
      </c>
      <c r="B2" s="2" t="inlineStr">
        <is>
          <t>+12V sau cầu chì 2A</t>
        </is>
      </c>
      <c r="C2" s="2" t="inlineStr">
        <is>
          <t>COM1 → NO1</t>
        </is>
      </c>
      <c r="D2" s="2" t="inlineStr">
        <is>
          <t>IP+ → IP- (đo chung)</t>
        </is>
      </c>
      <c r="E2" s="2" t="inlineStr">
        <is>
          <t>GND 12V</t>
        </is>
      </c>
      <c r="F2" s="2" t="inlineStr">
        <is>
          <t>Quạt chạy</t>
        </is>
      </c>
    </row>
    <row r="3">
      <c r="A3" s="2" t="inlineStr">
        <is>
          <t>Tải 2: LED 12V</t>
        </is>
      </c>
      <c r="B3" s="2" t="inlineStr">
        <is>
          <t>+12V sau cầu chì 2A</t>
        </is>
      </c>
      <c r="C3" s="2" t="inlineStr">
        <is>
          <t>COM2 → NO2</t>
        </is>
      </c>
      <c r="D3" s="2" t="inlineStr">
        <is>
          <t>IP+ → IP- (đo chung)</t>
        </is>
      </c>
      <c r="E3" s="2" t="inlineStr">
        <is>
          <t>GND 12V</t>
        </is>
      </c>
      <c r="F3" s="2" t="inlineStr">
        <is>
          <t>Đèn sáng</t>
        </is>
      </c>
    </row>
    <row r="4">
      <c r="A4" s="2" t="inlineStr">
        <is>
          <t>LM2596</t>
        </is>
      </c>
      <c r="B4" s="2" t="inlineStr">
        <is>
          <t>+12V trực tiếp</t>
        </is>
      </c>
      <c r="C4" s="2" t="inlineStr">
        <is>
          <t>Không</t>
        </is>
      </c>
      <c r="D4" s="2" t="inlineStr">
        <is>
          <t>Không qua (để không tính vào phép đo)</t>
        </is>
      </c>
      <c r="E4" s="2" t="inlineStr">
        <is>
          <t>GND 12V</t>
        </is>
      </c>
      <c r="F4" s="2" t="inlineStr">
        <is>
          <t>Ra 5V liên tục</t>
        </is>
      </c>
    </row>
    <row r="5">
      <c r="A5" s="2" t="inlineStr">
        <is>
          <t>Diode 1N4007</t>
        </is>
      </c>
      <c r="B5" s="2" t="inlineStr">
        <is>
          <t>Catot vào (+) quạt</t>
        </is>
      </c>
      <c r="C5" s="2" t="inlineStr"/>
      <c r="D5" s="2" t="inlineStr"/>
      <c r="E5" s="2" t="inlineStr">
        <is>
          <t>Anot vào (-) quạt</t>
        </is>
      </c>
      <c r="F5" s="2" t="inlineStr">
        <is>
          <t>Triệt sức điện động ngược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6" customWidth="1" min="3" max="3"/>
    <col width="14" customWidth="1" min="4" max="4"/>
    <col width="16" customWidth="1" min="5" max="5"/>
    <col width="44" customWidth="1" min="6" max="6"/>
  </cols>
  <sheetData>
    <row r="1">
      <c r="A1" s="1" t="inlineStr">
        <is>
          <t>STT</t>
        </is>
      </c>
      <c r="B1" s="1" t="inlineStr">
        <is>
          <t>Tên linh kiện</t>
        </is>
      </c>
      <c r="C1" s="1" t="inlineStr">
        <is>
          <t>SL</t>
        </is>
      </c>
      <c r="D1" s="1" t="inlineStr">
        <is>
          <t>Đơn giá (đ)</t>
        </is>
      </c>
      <c r="E1" s="1" t="inlineStr">
        <is>
          <t>Thành tiền (đ)</t>
        </is>
      </c>
      <c r="F1" s="1" t="inlineStr">
        <is>
          <t>Ghi chú</t>
        </is>
      </c>
    </row>
    <row r="2">
      <c r="A2" s="2" t="n">
        <v>1</v>
      </c>
      <c r="B2" s="2" t="inlineStr">
        <is>
          <t>ESP32-S3 DevKitC N16R8</t>
        </is>
      </c>
      <c r="C2" s="2" t="n">
        <v>1</v>
      </c>
      <c r="D2" s="2" t="n">
        <v>180000</v>
      </c>
      <c r="E2" s="2">
        <f>C2*D2</f>
        <v/>
      </c>
      <c r="F2" s="2" t="inlineStr">
        <is>
          <t>Không dùng ESP32 classic vì GPIO12 là chân strapping</t>
        </is>
      </c>
    </row>
    <row r="3">
      <c r="A3" s="2" t="n">
        <v>2</v>
      </c>
      <c r="B3" s="2" t="inlineStr">
        <is>
          <t>Cảm biến dòng ACS712-05B</t>
        </is>
      </c>
      <c r="C3" s="2" t="n">
        <v>1</v>
      </c>
      <c r="D3" s="2" t="n">
        <v>45000</v>
      </c>
      <c r="E3" s="2">
        <f>C3*D3</f>
        <v/>
      </c>
      <c r="F3" s="2" t="inlineStr"/>
    </row>
    <row r="4">
      <c r="A4" s="2" t="n">
        <v>3</v>
      </c>
      <c r="B4" s="2" t="inlineStr">
        <is>
          <t>Module relay 2 kênh 5V</t>
        </is>
      </c>
      <c r="C4" s="2" t="n">
        <v>1</v>
      </c>
      <c r="D4" s="2" t="n">
        <v>30000</v>
      </c>
      <c r="E4" s="2">
        <f>C4*D4</f>
        <v/>
      </c>
      <c r="F4" s="2" t="inlineStr">
        <is>
          <t>Active low, 10A/30VDC</t>
        </is>
      </c>
    </row>
    <row r="5">
      <c r="A5" s="2" t="n">
        <v>4</v>
      </c>
      <c r="B5" s="2" t="inlineStr">
        <is>
          <t>Mạch hạ áp LM2596</t>
        </is>
      </c>
      <c r="C5" s="2" t="n">
        <v>1</v>
      </c>
      <c r="D5" s="2" t="n">
        <v>22000</v>
      </c>
      <c r="E5" s="2">
        <f>C5*D5</f>
        <v/>
      </c>
      <c r="F5" s="2" t="inlineStr"/>
    </row>
    <row r="6">
      <c r="A6" s="2" t="n">
        <v>5</v>
      </c>
      <c r="B6" s="2" t="inlineStr">
        <is>
          <t>DS3231 RTC</t>
        </is>
      </c>
      <c r="C6" s="2" t="n">
        <v>1</v>
      </c>
      <c r="D6" s="2" t="n">
        <v>35000</v>
      </c>
      <c r="E6" s="2">
        <f>C6*D6</f>
        <v/>
      </c>
      <c r="F6" s="2" t="inlineStr">
        <is>
          <t>Kèm pin CR2032</t>
        </is>
      </c>
    </row>
    <row r="7">
      <c r="A7" s="2" t="n">
        <v>6</v>
      </c>
      <c r="B7" s="2" t="inlineStr">
        <is>
          <t>OLED SSD1306 0.96"</t>
        </is>
      </c>
      <c r="C7" s="2" t="n">
        <v>1</v>
      </c>
      <c r="D7" s="2" t="n">
        <v>45000</v>
      </c>
      <c r="E7" s="2">
        <f>C7*D7</f>
        <v/>
      </c>
      <c r="F7" s="2" t="inlineStr">
        <is>
          <t>I2C 0x3C</t>
        </is>
      </c>
    </row>
    <row r="8">
      <c r="A8" s="2" t="n">
        <v>7</v>
      </c>
      <c r="B8" s="2" t="inlineStr">
        <is>
          <t>Quạt DC 12V</t>
        </is>
      </c>
      <c r="C8" s="2" t="n">
        <v>1</v>
      </c>
      <c r="D8" s="2" t="n">
        <v>25000</v>
      </c>
      <c r="E8" s="2">
        <f>C8*D8</f>
        <v/>
      </c>
      <c r="F8" s="2" t="inlineStr">
        <is>
          <t>Tải ưu tiên cao</t>
        </is>
      </c>
    </row>
    <row r="9">
      <c r="A9" s="2" t="n">
        <v>8</v>
      </c>
      <c r="B9" s="2" t="inlineStr">
        <is>
          <t>Đèn LED bar 12V</t>
        </is>
      </c>
      <c r="C9" s="2" t="n">
        <v>1</v>
      </c>
      <c r="D9" s="2" t="n">
        <v>20000</v>
      </c>
      <c r="E9" s="2">
        <f>C9*D9</f>
        <v/>
      </c>
      <c r="F9" s="2" t="inlineStr">
        <is>
          <t>Tải ưu tiên thấp</t>
        </is>
      </c>
    </row>
    <row r="10">
      <c r="A10" s="2" t="n">
        <v>9</v>
      </c>
      <c r="B10" s="2" t="inlineStr">
        <is>
          <t>Adapter 12V 2A</t>
        </is>
      </c>
      <c r="C10" s="2" t="n">
        <v>1</v>
      </c>
      <c r="D10" s="2" t="n">
        <v>65000</v>
      </c>
      <c r="E10" s="2">
        <f>C10*D10</f>
        <v/>
      </c>
      <c r="F10" s="2" t="inlineStr"/>
    </row>
    <row r="11">
      <c r="A11" s="2" t="n">
        <v>10</v>
      </c>
      <c r="B11" s="2" t="inlineStr">
        <is>
          <t>Phíp lỗ 7x9cm + domino + rào cái</t>
        </is>
      </c>
      <c r="C11" s="2" t="n">
        <v>1</v>
      </c>
      <c r="D11" s="2" t="n">
        <v>40000</v>
      </c>
      <c r="E11" s="2">
        <f>C11*D11</f>
        <v/>
      </c>
      <c r="F11" s="2" t="inlineStr"/>
    </row>
    <row r="12">
      <c r="A12" s="2" t="n">
        <v>11</v>
      </c>
      <c r="B12" s="2" t="inlineStr">
        <is>
          <t>Cầu chì 2A + đế, diode 1N4007, R 10k/20k</t>
        </is>
      </c>
      <c r="C12" s="2" t="n">
        <v>1</v>
      </c>
      <c r="D12" s="2" t="n">
        <v>20000</v>
      </c>
      <c r="E12" s="2">
        <f>C12*D12</f>
        <v/>
      </c>
      <c r="F12" s="2" t="inlineStr">
        <is>
          <t>Bảo vệ và phân áp ADC</t>
        </is>
      </c>
    </row>
    <row r="13">
      <c r="A13" s="2" t="n">
        <v>12</v>
      </c>
      <c r="B13" s="2" t="inlineStr">
        <is>
          <t>Buzzer 5V + S8050 + R 1k</t>
        </is>
      </c>
      <c r="C13" s="2" t="n">
        <v>1</v>
      </c>
      <c r="D13" s="2" t="n">
        <v>10000</v>
      </c>
      <c r="E13" s="2">
        <f>C13*D13</f>
        <v/>
      </c>
      <c r="F13" s="2" t="inlineStr">
        <is>
          <t>Tuỳ chọn</t>
        </is>
      </c>
    </row>
    <row r="14">
      <c r="A14" s="2" t="n">
        <v>13</v>
      </c>
      <c r="B14" s="2" t="inlineStr">
        <is>
          <t>Thiếc hàn + flux</t>
        </is>
      </c>
      <c r="C14" s="2" t="n">
        <v>1</v>
      </c>
      <c r="D14" s="2" t="n">
        <v>35000</v>
      </c>
      <c r="E14" s="2">
        <f>C14*D14</f>
        <v/>
      </c>
      <c r="F14" s="2" t="inlineStr"/>
    </row>
    <row r="15">
      <c r="A15" s="2" t="inlineStr"/>
      <c r="B15" s="2" t="inlineStr">
        <is>
          <t>TỔNG</t>
        </is>
      </c>
      <c r="C15" s="2" t="inlineStr"/>
      <c r="D15" s="2" t="inlineStr"/>
      <c r="E15" s="2">
        <f>SUM(E2:E14)</f>
        <v/>
      </c>
      <c r="F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2026-09-19T16:04:29Z</dcterms:created>
  <dcterms:modified xmlns:dcterms="http://purl.org/dc/terms/" xmlns:xsi="http://www.w3.org/2001/XMLSchema-instance" xsi:type="dcterms:W3CDTF">2026-09-19T16:04:29Z</dcterms:modified>
</cp:coreProperties>
</file>